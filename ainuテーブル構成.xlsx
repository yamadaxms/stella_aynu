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 codeName="ThisWorkbook"/>
  <xr:revisionPtr revIDLastSave="0" documentId="13_ncr:1_{BDF71CB2-1F33-1A43-A421-A83D79C19082}" xr6:coauthVersionLast="47" xr6:coauthVersionMax="47" xr10:uidLastSave="{00000000-0000-0000-0000-000000000000}"/>
  <bookViews>
    <workbookView xWindow="-35600" yWindow="6940" windowWidth="33240" windowHeight="16160" xr2:uid="{00000000-000D-0000-FFFF-FFFF00000000}"/>
  </bookViews>
  <sheets>
    <sheet name="テーブル仕様" sheetId="1" r:id="rId1"/>
    <sheet name="ddl" sheetId="5" r:id="rId2"/>
  </sheets>
  <definedNames>
    <definedName name="_xlnm._FilterDatabase" localSheetId="0" hidden="1">テーブル仕様!$A$1:$I$42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59" i="5" l="1"/>
  <c r="O59" i="5" s="1"/>
  <c r="G68" i="5"/>
  <c r="O68" i="5" s="1"/>
  <c r="G48" i="5"/>
  <c r="O48" i="5" s="1"/>
  <c r="G40" i="5"/>
  <c r="O40" i="5" s="1"/>
  <c r="G29" i="5"/>
  <c r="O29" i="5" s="1"/>
  <c r="G12" i="5"/>
  <c r="O12" i="5" s="1"/>
  <c r="G1" i="5"/>
  <c r="O1" i="5" s="1"/>
  <c r="F40" i="1" l="1"/>
  <c r="E40" i="1"/>
  <c r="D40" i="1"/>
  <c r="C40" i="1"/>
  <c r="F30" i="1"/>
  <c r="E30" i="1"/>
  <c r="D30" i="1"/>
  <c r="C30" i="1"/>
  <c r="F21" i="1"/>
  <c r="E21" i="1"/>
  <c r="D21" i="1"/>
  <c r="C21" i="1"/>
  <c r="F6" i="1" l="1"/>
  <c r="E6" i="1"/>
  <c r="D6" i="1"/>
  <c r="C6" i="1"/>
  <c r="Q55" i="5" l="1"/>
  <c r="H55" i="5"/>
  <c r="Q73" i="5"/>
  <c r="H26" i="5"/>
  <c r="Q26" i="5"/>
  <c r="H73" i="5"/>
  <c r="F24" i="1"/>
  <c r="E24" i="1"/>
  <c r="D24" i="1"/>
  <c r="C24" i="1"/>
  <c r="Q56" i="5" l="1"/>
  <c r="H56" i="5"/>
  <c r="Q64" i="5"/>
  <c r="H64" i="5"/>
</calcChain>
</file>

<file path=xl/sharedStrings.xml><?xml version="1.0" encoding="utf-8"?>
<sst xmlns="http://schemas.openxmlformats.org/spreadsheetml/2006/main" count="509" uniqueCount="187">
  <si>
    <t>実体名</t>
    <rPh sb="0" eb="2">
      <t>ジッタイ</t>
    </rPh>
    <rPh sb="2" eb="3">
      <t>メイ</t>
    </rPh>
    <phoneticPr fontId="3"/>
  </si>
  <si>
    <t>テーブル名</t>
    <rPh sb="4" eb="5">
      <t>メイ</t>
    </rPh>
    <phoneticPr fontId="3"/>
  </si>
  <si>
    <t>属性名</t>
    <rPh sb="2" eb="3">
      <t>メイ</t>
    </rPh>
    <phoneticPr fontId="3"/>
  </si>
  <si>
    <t>カラム名</t>
  </si>
  <si>
    <t>データタイプ</t>
  </si>
  <si>
    <t>桁数</t>
    <rPh sb="0" eb="2">
      <t>ケタスウ</t>
    </rPh>
    <phoneticPr fontId="2"/>
  </si>
  <si>
    <t>属性定義</t>
  </si>
  <si>
    <t>PK</t>
  </si>
  <si>
    <t>必須</t>
    <rPh sb="0" eb="2">
      <t>ヒッス</t>
    </rPh>
    <phoneticPr fontId="1"/>
  </si>
  <si>
    <t>星文化情報</t>
    <rPh sb="0" eb="5">
      <t>ホシブンカジョウホウ</t>
    </rPh>
    <phoneticPr fontId="1"/>
  </si>
  <si>
    <t>名称（英名）</t>
    <rPh sb="0" eb="2">
      <t>メイショウ</t>
    </rPh>
    <rPh sb="3" eb="5">
      <t>エイメイ</t>
    </rPh>
    <phoneticPr fontId="1"/>
  </si>
  <si>
    <t>名称</t>
    <rPh sb="0" eb="2">
      <t>メイセィオ</t>
    </rPh>
    <phoneticPr fontId="1"/>
  </si>
  <si>
    <t>オリジナル意味</t>
    <rPh sb="5" eb="7">
      <t>イミ</t>
    </rPh>
    <phoneticPr fontId="1"/>
  </si>
  <si>
    <t>オリジナル名称</t>
    <rPh sb="5" eb="7">
      <t>メイショウ</t>
    </rPh>
    <phoneticPr fontId="1"/>
  </si>
  <si>
    <t>オリジナル名称（英名）</t>
    <rPh sb="5" eb="7">
      <t>メイショウ</t>
    </rPh>
    <phoneticPr fontId="1"/>
  </si>
  <si>
    <t>○</t>
    <phoneticPr fontId="1"/>
  </si>
  <si>
    <t>○</t>
  </si>
  <si>
    <t>メモ</t>
  </si>
  <si>
    <t>integer</t>
    <phoneticPr fontId="1"/>
  </si>
  <si>
    <t>-</t>
  </si>
  <si>
    <t>-</t>
    <phoneticPr fontId="1"/>
  </si>
  <si>
    <t>varchar</t>
    <phoneticPr fontId="1"/>
  </si>
  <si>
    <t>bigint</t>
    <phoneticPr fontId="1"/>
  </si>
  <si>
    <t>-</t>
    <phoneticPr fontId="1"/>
  </si>
  <si>
    <t>現代研究を踏まえた修正名称</t>
    <rPh sb="0" eb="4">
      <t>ゲンダイケンキュウ</t>
    </rPh>
    <rPh sb="5" eb="6">
      <t>フ</t>
    </rPh>
    <rPh sb="9" eb="13">
      <t>シュウセイメイショウ</t>
    </rPh>
    <phoneticPr fontId="1"/>
  </si>
  <si>
    <t>現代研究を踏まえた修正意味</t>
    <rPh sb="0" eb="4">
      <t>ゲンダイケンキュウ</t>
    </rPh>
    <rPh sb="5" eb="6">
      <t>フ</t>
    </rPh>
    <rPh sb="9" eb="11">
      <t>シュウセイ</t>
    </rPh>
    <rPh sb="11" eb="13">
      <t>イミ</t>
    </rPh>
    <phoneticPr fontId="1"/>
  </si>
  <si>
    <t>現代研究を踏まえた修正名称（英名）</t>
    <rPh sb="0" eb="4">
      <t>ゲンダイケンキュウ</t>
    </rPh>
    <rPh sb="5" eb="6">
      <t>フ</t>
    </rPh>
    <rPh sb="9" eb="13">
      <t>シュウセイメイショウ</t>
    </rPh>
    <phoneticPr fontId="1"/>
  </si>
  <si>
    <t>varchar</t>
  </si>
  <si>
    <t>星文化ID</t>
    <phoneticPr fontId="1"/>
  </si>
  <si>
    <t>市町村</t>
    <rPh sb="0" eb="3">
      <t>シチョウソン</t>
    </rPh>
    <phoneticPr fontId="1"/>
  </si>
  <si>
    <t>緯度</t>
    <rPh sb="0" eb="2">
      <t xml:space="preserve">イド </t>
    </rPh>
    <phoneticPr fontId="1"/>
  </si>
  <si>
    <t>経度</t>
  </si>
  <si>
    <t>forecast</t>
  </si>
  <si>
    <t>city</t>
  </si>
  <si>
    <t>lat</t>
  </si>
  <si>
    <t>lon</t>
  </si>
  <si>
    <t>道央、道東など</t>
    <rPh sb="0" eb="2">
      <t>ドウオウ</t>
    </rPh>
    <rPh sb="3" eb="5">
      <t>ドウトウ</t>
    </rPh>
    <phoneticPr fontId="1"/>
  </si>
  <si>
    <t>text</t>
  </si>
  <si>
    <t>text</t>
    <phoneticPr fontId="1"/>
  </si>
  <si>
    <t>-</t>
    <phoneticPr fontId="1"/>
  </si>
  <si>
    <t>-</t>
    <phoneticPr fontId="1"/>
  </si>
  <si>
    <t>memo</t>
  </si>
  <si>
    <t>memo</t>
    <phoneticPr fontId="1"/>
  </si>
  <si>
    <t>star_culture</t>
  </si>
  <si>
    <t>star_culture</t>
    <phoneticPr fontId="1"/>
  </si>
  <si>
    <t>star_culture_id</t>
    <phoneticPr fontId="1"/>
  </si>
  <si>
    <t>name_en</t>
    <phoneticPr fontId="1"/>
  </si>
  <si>
    <t>original_meaning</t>
    <phoneticPr fontId="1"/>
  </si>
  <si>
    <t>original_name_en</t>
    <phoneticPr fontId="1"/>
  </si>
  <si>
    <t>original_name_ja</t>
    <phoneticPr fontId="1"/>
  </si>
  <si>
    <t>意味</t>
    <phoneticPr fontId="1"/>
  </si>
  <si>
    <t>出展元記載のオリジナル名称（英名）</t>
    <rPh sb="2" eb="3">
      <t>モト</t>
    </rPh>
    <rPh sb="11" eb="13">
      <t>メイショウ</t>
    </rPh>
    <rPh sb="14" eb="16">
      <t>エイメイ</t>
    </rPh>
    <phoneticPr fontId="1"/>
  </si>
  <si>
    <t>出展元記載のオリジナル名称</t>
    <rPh sb="11" eb="13">
      <t>メイショウ</t>
    </rPh>
    <phoneticPr fontId="1"/>
  </si>
  <si>
    <t>出展元記載のオリジナル意味</t>
    <rPh sb="11" eb="13">
      <t>イミ</t>
    </rPh>
    <phoneticPr fontId="1"/>
  </si>
  <si>
    <t>赤経</t>
    <rPh sb="0" eb="2">
      <t>セッケイ</t>
    </rPh>
    <phoneticPr fontId="1"/>
  </si>
  <si>
    <t>赤緯</t>
    <rPh sb="0" eb="2">
      <t>セキイ</t>
    </rPh>
    <phoneticPr fontId="1"/>
  </si>
  <si>
    <t>恒星</t>
    <rPh sb="0" eb="2">
      <t>コウセイ</t>
    </rPh>
    <phoneticPr fontId="1"/>
  </si>
  <si>
    <t>気象区分</t>
  </si>
  <si>
    <t>地方区分</t>
  </si>
  <si>
    <t>振興局</t>
    <rPh sb="0" eb="2">
      <t>シンコウ</t>
    </rPh>
    <rPh sb="2" eb="3">
      <t>キョク</t>
    </rPh>
    <phoneticPr fontId="1"/>
  </si>
  <si>
    <t>numeric</t>
  </si>
  <si>
    <t>9,6</t>
  </si>
  <si>
    <t>上川中部、網走西部など</t>
  </si>
  <si>
    <t>石狩、空知など</t>
  </si>
  <si>
    <t>hipparcos</t>
  </si>
  <si>
    <t>ra</t>
  </si>
  <si>
    <t>dec</t>
  </si>
  <si>
    <t>ヒッパルコス星表番号</t>
  </si>
  <si>
    <t>星座リスト</t>
    <rPh sb="0" eb="2">
      <t>セイザ</t>
    </rPh>
    <phoneticPr fontId="1"/>
  </si>
  <si>
    <t>4,1</t>
    <phoneticPr fontId="1"/>
  </si>
  <si>
    <t>名前ラベル表示位置</t>
    <rPh sb="0" eb="2">
      <t>ナマエ</t>
    </rPh>
    <rPh sb="5" eb="9">
      <t>ヒョウジイチ</t>
    </rPh>
    <phoneticPr fontId="1"/>
  </si>
  <si>
    <t>constellation_list</t>
  </si>
  <si>
    <t>star_culture</t>
    <phoneticPr fontId="1"/>
  </si>
  <si>
    <t>constellation_list</t>
    <phoneticPr fontId="1"/>
  </si>
  <si>
    <t>name_ja</t>
    <phoneticPr fontId="1"/>
  </si>
  <si>
    <t>meaning</t>
    <phoneticPr fontId="1"/>
  </si>
  <si>
    <t>area</t>
  </si>
  <si>
    <t>subprefecture</t>
  </si>
  <si>
    <t>14,11</t>
  </si>
  <si>
    <t>14,11</t>
    <phoneticPr fontId="1"/>
  </si>
  <si>
    <t>星座キー</t>
    <rPh sb="0" eb="2">
      <t>セイザ</t>
    </rPh>
    <phoneticPr fontId="1"/>
  </si>
  <si>
    <t>線番</t>
    <rPh sb="0" eb="1">
      <t>セン</t>
    </rPh>
    <rPh sb="1" eb="2">
      <t>バン</t>
    </rPh>
    <phoneticPr fontId="1"/>
  </si>
  <si>
    <t>線順</t>
    <rPh sb="0" eb="1">
      <t>セン</t>
    </rPh>
    <rPh sb="1" eb="2">
      <t>ジュン</t>
    </rPh>
    <phoneticPr fontId="1"/>
  </si>
  <si>
    <t>char</t>
    <phoneticPr fontId="1"/>
  </si>
  <si>
    <t>constellation_key</t>
    <phoneticPr fontId="1"/>
  </si>
  <si>
    <t>星座線リスト</t>
  </si>
  <si>
    <t>星座線リスト</t>
    <phoneticPr fontId="1"/>
  </si>
  <si>
    <t>line_no</t>
    <phoneticPr fontId="1"/>
  </si>
  <si>
    <t>point_no</t>
    <phoneticPr fontId="1"/>
  </si>
  <si>
    <t>星座線の組順序（1本目、2本目、、、）</t>
    <rPh sb="0" eb="3">
      <t>セイザセン</t>
    </rPh>
    <rPh sb="4" eb="7">
      <t>クミジュンジョ</t>
    </rPh>
    <rPh sb="9" eb="11">
      <t>ポンメ</t>
    </rPh>
    <rPh sb="13" eb="15">
      <t>ホンメ</t>
    </rPh>
    <phoneticPr fontId="1"/>
  </si>
  <si>
    <t>恒星マスタ</t>
  </si>
  <si>
    <t>恒星マスタ</t>
    <phoneticPr fontId="1"/>
  </si>
  <si>
    <t>star_master</t>
  </si>
  <si>
    <t>star_master</t>
    <phoneticPr fontId="1"/>
  </si>
  <si>
    <t>現代地域マスタ</t>
    <phoneticPr fontId="1"/>
  </si>
  <si>
    <t>現代地域マスタ</t>
    <phoneticPr fontId="1"/>
  </si>
  <si>
    <t>現代地域マスタ</t>
    <phoneticPr fontId="1"/>
  </si>
  <si>
    <t>present_area_master</t>
  </si>
  <si>
    <t>S地域リスト_星</t>
  </si>
  <si>
    <t>S地域</t>
  </si>
  <si>
    <t>S地域リスト_地</t>
  </si>
  <si>
    <t>s_area_list_c</t>
  </si>
  <si>
    <t>s_area</t>
  </si>
  <si>
    <t>s_area_list_p</t>
  </si>
  <si>
    <t>1,2,3,4,5（末岡氏区分の地域Ⅰ～地域Ⅴ）</t>
    <rPh sb="10" eb="15">
      <t>スエオカシクブン</t>
    </rPh>
    <rPh sb="16" eb="18">
      <t>チイキ</t>
    </rPh>
    <phoneticPr fontId="1"/>
  </si>
  <si>
    <t>星文化情報</t>
  </si>
  <si>
    <t>星座リスト</t>
  </si>
  <si>
    <t>現代地域マスタ</t>
  </si>
  <si>
    <t>constellation_line_list</t>
  </si>
  <si>
    <t>constellation_line_list</t>
    <phoneticPr fontId="1"/>
  </si>
  <si>
    <t>公開フラグ</t>
    <rPh sb="0" eb="2">
      <t>コウカイ</t>
    </rPh>
    <phoneticPr fontId="1"/>
  </si>
  <si>
    <t>true：公開、false：非公開（デフォルト：false）</t>
    <rPh sb="5" eb="7">
      <t>コウカイ</t>
    </rPh>
    <rPh sb="14" eb="17">
      <t>ヒコウカイ</t>
    </rPh>
    <phoneticPr fontId="1"/>
  </si>
  <si>
    <t>登録日時</t>
    <rPh sb="0" eb="4">
      <t>トウロクニチジ</t>
    </rPh>
    <phoneticPr fontId="1"/>
  </si>
  <si>
    <t>更新日時</t>
    <rPh sb="0" eb="4">
      <t>コウシンニチジ</t>
    </rPh>
    <phoneticPr fontId="1"/>
  </si>
  <si>
    <t>D3-Celestial表示用キー</t>
    <rPh sb="12" eb="15">
      <t>ヒョウジヨウ</t>
    </rPh>
    <phoneticPr fontId="1"/>
  </si>
  <si>
    <t>自動採番</t>
    <rPh sb="0" eb="3">
      <t>ジドウサイバン</t>
    </rPh>
    <phoneticPr fontId="1"/>
  </si>
  <si>
    <t>星座キー</t>
  </si>
  <si>
    <t>市町村</t>
  </si>
  <si>
    <t>boolean</t>
    <phoneticPr fontId="1"/>
  </si>
  <si>
    <t>is_published</t>
  </si>
  <si>
    <t>is_published</t>
    <phoneticPr fontId="1"/>
  </si>
  <si>
    <t>updated_at</t>
  </si>
  <si>
    <t>updated_at</t>
    <phoneticPr fontId="1"/>
  </si>
  <si>
    <t>timestamp</t>
  </si>
  <si>
    <t>timestamp</t>
    <phoneticPr fontId="1"/>
  </si>
  <si>
    <t>created_at</t>
  </si>
  <si>
    <t>created_at</t>
    <phoneticPr fontId="1"/>
  </si>
  <si>
    <t>);</t>
    <phoneticPr fontId="1"/>
  </si>
  <si>
    <t>,</t>
    <phoneticPr fontId="1"/>
  </si>
  <si>
    <t>,</t>
    <phoneticPr fontId="1"/>
  </si>
  <si>
    <t>,</t>
    <phoneticPr fontId="1"/>
  </si>
  <si>
    <t>,</t>
    <phoneticPr fontId="1"/>
  </si>
  <si>
    <t>,</t>
    <phoneticPr fontId="1"/>
  </si>
  <si>
    <t>);</t>
    <phoneticPr fontId="1"/>
  </si>
  <si>
    <t>not null</t>
    <phoneticPr fontId="1"/>
  </si>
  <si>
    <t>not null</t>
    <phoneticPr fontId="1"/>
  </si>
  <si>
    <t>not null</t>
    <phoneticPr fontId="1"/>
  </si>
  <si>
    <t>primary key (constellation_key)</t>
  </si>
  <si>
    <t>primary key (star_culture_id)</t>
    <phoneticPr fontId="1"/>
  </si>
  <si>
    <t>name_ja</t>
  </si>
  <si>
    <t>varchar(32)</t>
  </si>
  <si>
    <t>name_en</t>
  </si>
  <si>
    <t>varchar(64)</t>
  </si>
  <si>
    <t>meaning</t>
  </si>
  <si>
    <t>constellation_key</t>
  </si>
  <si>
    <t>original_name_ja</t>
  </si>
  <si>
    <t>original_name_en</t>
  </si>
  <si>
    <t>original_meaning</t>
  </si>
  <si>
    <t>numeric(4,1)</t>
  </si>
  <si>
    <t>boolean default false</t>
  </si>
  <si>
    <t>timestamp default current_timestamp</t>
  </si>
  <si>
    <t>memo</t>
    <phoneticPr fontId="1"/>
  </si>
  <si>
    <t>star_culture_id</t>
    <phoneticPr fontId="1"/>
  </si>
  <si>
    <t>char(1)</t>
  </si>
  <si>
    <t>varchar(16)</t>
  </si>
  <si>
    <t>integer</t>
  </si>
  <si>
    <t>numeric(9,6)</t>
  </si>
  <si>
    <t>city</t>
    <phoneticPr fontId="1"/>
  </si>
  <si>
    <t>primary key (city)</t>
    <phoneticPr fontId="1"/>
  </si>
  <si>
    <t>numeric(14,11)</t>
  </si>
  <si>
    <t>hipparcos</t>
    <phoneticPr fontId="1"/>
  </si>
  <si>
    <t>primary key (hipparcos)</t>
    <phoneticPr fontId="1"/>
  </si>
  <si>
    <t>line_no</t>
  </si>
  <si>
    <t>point_no</t>
  </si>
  <si>
    <t>primary key (constellation_key,line_no,point_no)</t>
    <phoneticPr fontId="1"/>
  </si>
  <si>
    <t>primary key (constellation_key,s_area)</t>
    <phoneticPr fontId="1"/>
  </si>
  <si>
    <t>primary key (s_area,city)</t>
    <phoneticPr fontId="1"/>
  </si>
  <si>
    <t>恒星マスタ</t>
    <rPh sb="0" eb="2">
      <t>コウセイ</t>
    </rPh>
    <phoneticPr fontId="1"/>
  </si>
  <si>
    <t>constraint chk_s_area_list_p_s_area check (s_area in ('1','2','3','4','5'))</t>
  </si>
  <si>
    <t>constraint chk_s_area_list_c_s_area check (s_area in ('1','2','3','4','5'))</t>
  </si>
  <si>
    <t>星座線を結ぶ恒星の順序（A→B→C→…）</t>
    <rPh sb="0" eb="3">
      <t>セイザセン</t>
    </rPh>
    <rPh sb="4" eb="5">
      <t>ムス</t>
    </rPh>
    <rPh sb="6" eb="8">
      <t>コウセイ</t>
    </rPh>
    <rPh sb="9" eb="11">
      <t>ジュンジョ</t>
    </rPh>
    <phoneticPr fontId="1"/>
  </si>
  <si>
    <t>varchar(10)</t>
    <phoneticPr fontId="1"/>
  </si>
  <si>
    <t>city.json</t>
  </si>
  <si>
    <t>star.json</t>
  </si>
  <si>
    <t>key</t>
    <phoneticPr fontId="1"/>
  </si>
  <si>
    <t>ra</t>
    <phoneticPr fontId="1"/>
  </si>
  <si>
    <t>dec</t>
    <phoneticPr fontId="1"/>
  </si>
  <si>
    <t>forecast</t>
    <phoneticPr fontId="1"/>
  </si>
  <si>
    <t>area</t>
    <phoneticPr fontId="1"/>
  </si>
  <si>
    <t>subprefecture</t>
    <phoneticPr fontId="1"/>
  </si>
  <si>
    <t>lat</t>
    <phoneticPr fontId="1"/>
  </si>
  <si>
    <t>lon</t>
    <phoneticPr fontId="1"/>
  </si>
  <si>
    <t>ainu</t>
    <phoneticPr fontId="1"/>
  </si>
  <si>
    <t>constellation.json</t>
  </si>
  <si>
    <t>name</t>
    <phoneticPr fontId="1"/>
  </si>
  <si>
    <t>description</t>
    <phoneticPr fontId="1"/>
  </si>
  <si>
    <t>lines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</si>
</sst>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auto="1"/>
      </top>
      <bottom/>
      <diagonal/>
    </border>
    <border>
      <left style="dotted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dotted">
        <color indexed="64"/>
      </right>
      <top/>
      <bottom style="thin">
        <color auto="1"/>
      </bottom>
      <diagonal/>
    </border>
    <border>
      <left style="dotted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dotted">
        <color indexed="64"/>
      </right>
      <top style="thin">
        <color auto="1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auto="1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3" borderId="8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2" xfId="0" quotePrefix="1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0" xfId="0" applyFill="1"/>
    <xf numFmtId="0" fontId="0" fillId="6" borderId="0" xfId="0" applyFill="1"/>
    <xf numFmtId="0" fontId="0" fillId="5" borderId="0" xfId="0" applyFill="1"/>
    <xf numFmtId="0" fontId="0" fillId="0" borderId="20" xfId="0" applyBorder="1"/>
    <xf numFmtId="0" fontId="0" fillId="0" borderId="21" xfId="0" applyBorder="1"/>
    <xf numFmtId="0" fontId="0" fillId="3" borderId="15" xfId="0" applyFill="1" applyBorder="1"/>
    <xf numFmtId="0" fontId="0" fillId="3" borderId="16" xfId="0" applyFill="1" applyBorder="1"/>
    <xf numFmtId="0" fontId="0" fillId="0" borderId="22" xfId="0" applyBorder="1"/>
    <xf numFmtId="0" fontId="0" fillId="7" borderId="0" xfId="0" applyFill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CCFF"/>
      <color rgb="FF9999FF"/>
      <color rgb="FFCC99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42"/>
  <sheetViews>
    <sheetView tabSelected="1" topLeftCell="B1" zoomScaleNormal="100" workbookViewId="0">
      <pane ySplit="1" topLeftCell="A2" activePane="bottomLeft" state="frozen"/>
      <selection pane="bottomLeft" activeCell="D18" sqref="D18"/>
    </sheetView>
  </sheetViews>
  <sheetFormatPr baseColWidth="10" defaultColWidth="9" defaultRowHeight="18"/>
  <cols>
    <col min="1" max="1" width="17.1640625" bestFit="1" customWidth="1"/>
    <col min="2" max="2" width="24.1640625" customWidth="1"/>
    <col min="3" max="3" width="23.5" bestFit="1" customWidth="1"/>
    <col min="4" max="4" width="19.6640625" bestFit="1" customWidth="1"/>
    <col min="5" max="5" width="15" bestFit="1" customWidth="1"/>
    <col min="6" max="6" width="7.6640625" bestFit="1" customWidth="1"/>
    <col min="7" max="7" width="99.1640625" customWidth="1"/>
    <col min="8" max="8" width="6" style="1" customWidth="1"/>
    <col min="9" max="9" width="7.1640625" style="1" bestFit="1" customWidth="1"/>
    <col min="11" max="11" width="17.33203125" bestFit="1" customWidth="1"/>
  </cols>
  <sheetData>
    <row r="1" spans="1:12" s="11" customFormat="1" ht="19" thickBot="1">
      <c r="A1" s="8" t="s">
        <v>0</v>
      </c>
      <c r="B1" s="9" t="s">
        <v>1</v>
      </c>
      <c r="C1" s="8" t="s">
        <v>2</v>
      </c>
      <c r="D1" s="9" t="s">
        <v>3</v>
      </c>
      <c r="E1" s="8" t="s">
        <v>4</v>
      </c>
      <c r="F1" s="9" t="s">
        <v>5</v>
      </c>
      <c r="G1" s="10" t="s">
        <v>6</v>
      </c>
      <c r="H1" s="8" t="s">
        <v>7</v>
      </c>
      <c r="I1" s="9" t="s">
        <v>8</v>
      </c>
    </row>
    <row r="2" spans="1:12" ht="19" thickTop="1">
      <c r="A2" s="12" t="s">
        <v>9</v>
      </c>
      <c r="B2" s="13" t="s">
        <v>44</v>
      </c>
      <c r="C2" s="12" t="s">
        <v>28</v>
      </c>
      <c r="D2" s="13" t="s">
        <v>45</v>
      </c>
      <c r="E2" s="12" t="s">
        <v>22</v>
      </c>
      <c r="F2" s="13" t="s">
        <v>23</v>
      </c>
      <c r="G2" s="25" t="s">
        <v>115</v>
      </c>
      <c r="H2" s="2" t="s">
        <v>15</v>
      </c>
      <c r="I2" s="3" t="s">
        <v>16</v>
      </c>
    </row>
    <row r="3" spans="1:12">
      <c r="A3" s="12" t="s">
        <v>9</v>
      </c>
      <c r="B3" s="13" t="s">
        <v>43</v>
      </c>
      <c r="C3" s="22" t="s">
        <v>11</v>
      </c>
      <c r="D3" s="21" t="s">
        <v>74</v>
      </c>
      <c r="E3" s="12" t="s">
        <v>21</v>
      </c>
      <c r="F3" s="13">
        <v>32</v>
      </c>
      <c r="G3" s="14" t="s">
        <v>24</v>
      </c>
      <c r="H3" s="2"/>
      <c r="I3" s="3" t="s">
        <v>15</v>
      </c>
      <c r="K3" t="s">
        <v>183</v>
      </c>
      <c r="L3" t="s">
        <v>184</v>
      </c>
    </row>
    <row r="4" spans="1:12">
      <c r="A4" s="12" t="s">
        <v>9</v>
      </c>
      <c r="B4" s="13" t="s">
        <v>43</v>
      </c>
      <c r="C4" s="12" t="s">
        <v>10</v>
      </c>
      <c r="D4" s="13" t="s">
        <v>46</v>
      </c>
      <c r="E4" s="12" t="s">
        <v>21</v>
      </c>
      <c r="F4" s="13">
        <v>64</v>
      </c>
      <c r="G4" s="14" t="s">
        <v>26</v>
      </c>
      <c r="H4" s="2"/>
      <c r="I4" s="3"/>
    </row>
    <row r="5" spans="1:12">
      <c r="A5" s="12" t="s">
        <v>9</v>
      </c>
      <c r="B5" s="13" t="s">
        <v>43</v>
      </c>
      <c r="C5" s="22" t="s">
        <v>50</v>
      </c>
      <c r="D5" s="21" t="s">
        <v>75</v>
      </c>
      <c r="E5" s="12" t="s">
        <v>27</v>
      </c>
      <c r="F5" s="13">
        <v>64</v>
      </c>
      <c r="G5" s="14" t="s">
        <v>25</v>
      </c>
      <c r="H5" s="2"/>
      <c r="I5" s="3"/>
      <c r="K5" t="s">
        <v>183</v>
      </c>
      <c r="L5" t="s">
        <v>185</v>
      </c>
    </row>
    <row r="6" spans="1:12">
      <c r="A6" s="12" t="s">
        <v>9</v>
      </c>
      <c r="B6" s="13" t="s">
        <v>72</v>
      </c>
      <c r="C6" s="22" t="str">
        <f>C14</f>
        <v>星座キー</v>
      </c>
      <c r="D6" s="21" t="str">
        <f>D14</f>
        <v>constellation_key</v>
      </c>
      <c r="E6" s="12" t="str">
        <f>E14</f>
        <v>varchar</v>
      </c>
      <c r="F6" s="13">
        <f>F14</f>
        <v>32</v>
      </c>
      <c r="G6" s="14" t="s">
        <v>114</v>
      </c>
      <c r="H6" s="2"/>
      <c r="I6" s="3"/>
      <c r="K6" t="s">
        <v>183</v>
      </c>
      <c r="L6" t="s">
        <v>174</v>
      </c>
    </row>
    <row r="7" spans="1:12">
      <c r="A7" s="12" t="s">
        <v>9</v>
      </c>
      <c r="B7" s="13" t="s">
        <v>43</v>
      </c>
      <c r="C7" s="12" t="s">
        <v>13</v>
      </c>
      <c r="D7" s="13" t="s">
        <v>49</v>
      </c>
      <c r="E7" s="12" t="s">
        <v>21</v>
      </c>
      <c r="F7" s="13">
        <v>32</v>
      </c>
      <c r="G7" s="14" t="s">
        <v>52</v>
      </c>
      <c r="H7" s="2"/>
      <c r="I7" s="3" t="s">
        <v>15</v>
      </c>
    </row>
    <row r="8" spans="1:12">
      <c r="A8" s="12" t="s">
        <v>9</v>
      </c>
      <c r="B8" s="13" t="s">
        <v>43</v>
      </c>
      <c r="C8" s="12" t="s">
        <v>14</v>
      </c>
      <c r="D8" s="13" t="s">
        <v>48</v>
      </c>
      <c r="E8" s="12" t="s">
        <v>21</v>
      </c>
      <c r="F8" s="13">
        <v>64</v>
      </c>
      <c r="G8" s="14" t="s">
        <v>51</v>
      </c>
      <c r="H8" s="2"/>
      <c r="I8" s="3"/>
    </row>
    <row r="9" spans="1:12">
      <c r="A9" s="12" t="s">
        <v>9</v>
      </c>
      <c r="B9" s="13" t="s">
        <v>43</v>
      </c>
      <c r="C9" s="12" t="s">
        <v>12</v>
      </c>
      <c r="D9" s="13" t="s">
        <v>47</v>
      </c>
      <c r="E9" s="12" t="s">
        <v>27</v>
      </c>
      <c r="F9" s="13">
        <v>64</v>
      </c>
      <c r="G9" s="14" t="s">
        <v>53</v>
      </c>
      <c r="H9" s="2"/>
      <c r="I9" s="3"/>
    </row>
    <row r="10" spans="1:12">
      <c r="A10" s="12" t="s">
        <v>9</v>
      </c>
      <c r="B10" s="13" t="s">
        <v>43</v>
      </c>
      <c r="C10" s="12" t="s">
        <v>17</v>
      </c>
      <c r="D10" s="13" t="s">
        <v>41</v>
      </c>
      <c r="E10" s="12" t="s">
        <v>38</v>
      </c>
      <c r="F10" s="13" t="s">
        <v>39</v>
      </c>
      <c r="G10" s="14"/>
      <c r="H10" s="2"/>
      <c r="I10" s="3"/>
    </row>
    <row r="11" spans="1:12">
      <c r="A11" s="12" t="s">
        <v>9</v>
      </c>
      <c r="B11" s="13" t="s">
        <v>43</v>
      </c>
      <c r="C11" s="12" t="s">
        <v>110</v>
      </c>
      <c r="D11" s="13" t="s">
        <v>120</v>
      </c>
      <c r="E11" s="12" t="s">
        <v>118</v>
      </c>
      <c r="F11" s="13" t="s">
        <v>19</v>
      </c>
      <c r="G11" s="14" t="s">
        <v>111</v>
      </c>
      <c r="H11" s="2"/>
      <c r="I11" s="3" t="s">
        <v>16</v>
      </c>
    </row>
    <row r="12" spans="1:12">
      <c r="A12" s="12" t="s">
        <v>9</v>
      </c>
      <c r="B12" s="13" t="s">
        <v>43</v>
      </c>
      <c r="C12" s="12" t="s">
        <v>112</v>
      </c>
      <c r="D12" s="13" t="s">
        <v>126</v>
      </c>
      <c r="E12" s="12" t="s">
        <v>124</v>
      </c>
      <c r="F12" s="13" t="s">
        <v>19</v>
      </c>
      <c r="G12" s="14"/>
      <c r="H12" s="2"/>
      <c r="I12" s="3" t="s">
        <v>16</v>
      </c>
    </row>
    <row r="13" spans="1:12">
      <c r="A13" s="15" t="s">
        <v>9</v>
      </c>
      <c r="B13" s="16" t="s">
        <v>43</v>
      </c>
      <c r="C13" s="15" t="s">
        <v>113</v>
      </c>
      <c r="D13" s="16" t="s">
        <v>122</v>
      </c>
      <c r="E13" s="15" t="s">
        <v>123</v>
      </c>
      <c r="F13" s="16" t="s">
        <v>19</v>
      </c>
      <c r="G13" s="17"/>
      <c r="H13" s="6"/>
      <c r="I13" s="7" t="s">
        <v>16</v>
      </c>
    </row>
    <row r="14" spans="1:12">
      <c r="A14" s="12" t="s">
        <v>68</v>
      </c>
      <c r="B14" s="13" t="s">
        <v>73</v>
      </c>
      <c r="C14" s="22" t="s">
        <v>80</v>
      </c>
      <c r="D14" s="21" t="s">
        <v>84</v>
      </c>
      <c r="E14" s="12" t="s">
        <v>27</v>
      </c>
      <c r="F14" s="13">
        <v>32</v>
      </c>
      <c r="H14" s="2" t="s">
        <v>16</v>
      </c>
      <c r="I14" s="3" t="s">
        <v>16</v>
      </c>
    </row>
    <row r="15" spans="1:12">
      <c r="A15" s="12" t="s">
        <v>68</v>
      </c>
      <c r="B15" s="13" t="s">
        <v>73</v>
      </c>
      <c r="C15" s="22" t="s">
        <v>54</v>
      </c>
      <c r="D15" s="21" t="s">
        <v>65</v>
      </c>
      <c r="E15" s="12" t="s">
        <v>60</v>
      </c>
      <c r="F15" s="13" t="s">
        <v>69</v>
      </c>
      <c r="G15" t="s">
        <v>70</v>
      </c>
      <c r="H15" s="2"/>
      <c r="I15" s="3" t="s">
        <v>16</v>
      </c>
      <c r="K15" t="s">
        <v>183</v>
      </c>
      <c r="L15" t="s">
        <v>175</v>
      </c>
    </row>
    <row r="16" spans="1:12">
      <c r="A16" s="12" t="s">
        <v>68</v>
      </c>
      <c r="B16" s="13" t="s">
        <v>71</v>
      </c>
      <c r="C16" s="22" t="s">
        <v>55</v>
      </c>
      <c r="D16" s="21" t="s">
        <v>66</v>
      </c>
      <c r="E16" s="12" t="s">
        <v>60</v>
      </c>
      <c r="F16" s="13" t="s">
        <v>69</v>
      </c>
      <c r="G16" t="s">
        <v>70</v>
      </c>
      <c r="H16" s="2"/>
      <c r="I16" s="3" t="s">
        <v>16</v>
      </c>
      <c r="K16" t="s">
        <v>183</v>
      </c>
      <c r="L16" t="s">
        <v>176</v>
      </c>
    </row>
    <row r="17" spans="1:12">
      <c r="A17" s="12" t="s">
        <v>68</v>
      </c>
      <c r="B17" s="13" t="s">
        <v>71</v>
      </c>
      <c r="C17" s="12" t="s">
        <v>17</v>
      </c>
      <c r="D17" s="13" t="s">
        <v>41</v>
      </c>
      <c r="E17" s="12" t="s">
        <v>37</v>
      </c>
      <c r="F17" s="13" t="s">
        <v>39</v>
      </c>
      <c r="G17" s="14"/>
      <c r="H17" s="2"/>
      <c r="I17" s="3"/>
    </row>
    <row r="18" spans="1:12">
      <c r="A18" s="12" t="s">
        <v>68</v>
      </c>
      <c r="B18" s="13" t="s">
        <v>71</v>
      </c>
      <c r="C18" s="12" t="s">
        <v>110</v>
      </c>
      <c r="D18" s="13" t="s">
        <v>120</v>
      </c>
      <c r="E18" s="12" t="s">
        <v>118</v>
      </c>
      <c r="F18" s="13" t="s">
        <v>19</v>
      </c>
      <c r="G18" s="14" t="s">
        <v>111</v>
      </c>
      <c r="H18" s="2"/>
      <c r="I18" s="3" t="s">
        <v>16</v>
      </c>
    </row>
    <row r="19" spans="1:12">
      <c r="A19" s="12" t="s">
        <v>68</v>
      </c>
      <c r="B19" s="13" t="s">
        <v>71</v>
      </c>
      <c r="C19" s="12" t="s">
        <v>112</v>
      </c>
      <c r="D19" s="13" t="s">
        <v>126</v>
      </c>
      <c r="E19" s="12" t="s">
        <v>124</v>
      </c>
      <c r="F19" s="13" t="s">
        <v>19</v>
      </c>
      <c r="G19" s="14"/>
      <c r="H19" s="2"/>
      <c r="I19" s="3" t="s">
        <v>16</v>
      </c>
    </row>
    <row r="20" spans="1:12">
      <c r="A20" s="15" t="s">
        <v>68</v>
      </c>
      <c r="B20" s="16" t="s">
        <v>71</v>
      </c>
      <c r="C20" s="15" t="s">
        <v>113</v>
      </c>
      <c r="D20" s="16" t="s">
        <v>122</v>
      </c>
      <c r="E20" s="15" t="s">
        <v>123</v>
      </c>
      <c r="F20" s="16" t="s">
        <v>19</v>
      </c>
      <c r="G20" s="17"/>
      <c r="H20" s="6"/>
      <c r="I20" s="7" t="s">
        <v>16</v>
      </c>
    </row>
    <row r="21" spans="1:12">
      <c r="A21" s="18" t="s">
        <v>86</v>
      </c>
      <c r="B21" s="19" t="s">
        <v>109</v>
      </c>
      <c r="C21" s="18" t="str">
        <f>C14</f>
        <v>星座キー</v>
      </c>
      <c r="D21" s="19" t="str">
        <f t="shared" ref="D21:F21" si="0">D14</f>
        <v>constellation_key</v>
      </c>
      <c r="E21" s="18" t="str">
        <f t="shared" si="0"/>
        <v>varchar</v>
      </c>
      <c r="F21" s="19">
        <f t="shared" si="0"/>
        <v>32</v>
      </c>
      <c r="G21" s="20"/>
      <c r="H21" s="4" t="s">
        <v>16</v>
      </c>
      <c r="I21" s="5" t="s">
        <v>16</v>
      </c>
    </row>
    <row r="22" spans="1:12">
      <c r="A22" s="12" t="s">
        <v>85</v>
      </c>
      <c r="B22" s="13" t="s">
        <v>108</v>
      </c>
      <c r="C22" s="22" t="s">
        <v>81</v>
      </c>
      <c r="D22" s="21" t="s">
        <v>87</v>
      </c>
      <c r="E22" s="12" t="s">
        <v>18</v>
      </c>
      <c r="F22" s="13" t="s">
        <v>20</v>
      </c>
      <c r="G22" t="s">
        <v>89</v>
      </c>
      <c r="H22" s="2" t="s">
        <v>16</v>
      </c>
      <c r="I22" s="3" t="s">
        <v>16</v>
      </c>
      <c r="K22" t="s">
        <v>183</v>
      </c>
      <c r="L22" t="s">
        <v>186</v>
      </c>
    </row>
    <row r="23" spans="1:12">
      <c r="A23" s="12" t="s">
        <v>85</v>
      </c>
      <c r="B23" s="13" t="s">
        <v>108</v>
      </c>
      <c r="C23" s="22" t="s">
        <v>82</v>
      </c>
      <c r="D23" s="21" t="s">
        <v>88</v>
      </c>
      <c r="E23" s="12" t="s">
        <v>18</v>
      </c>
      <c r="F23" s="13" t="s">
        <v>20</v>
      </c>
      <c r="G23" t="s">
        <v>170</v>
      </c>
      <c r="H23" s="2" t="s">
        <v>16</v>
      </c>
      <c r="I23" s="3" t="s">
        <v>16</v>
      </c>
      <c r="K23" t="s">
        <v>183</v>
      </c>
      <c r="L23" t="s">
        <v>186</v>
      </c>
    </row>
    <row r="24" spans="1:12">
      <c r="A24" s="12" t="s">
        <v>85</v>
      </c>
      <c r="B24" s="13" t="s">
        <v>108</v>
      </c>
      <c r="C24" s="22" t="str">
        <f>C26</f>
        <v>恒星</v>
      </c>
      <c r="D24" s="21" t="str">
        <f>D26</f>
        <v>hipparcos</v>
      </c>
      <c r="E24" s="12" t="str">
        <f>E26</f>
        <v>varchar</v>
      </c>
      <c r="F24" s="13">
        <f>F26</f>
        <v>10</v>
      </c>
      <c r="G24" t="str">
        <f>G26</f>
        <v>ヒッパルコス星表番号</v>
      </c>
      <c r="H24" s="2"/>
      <c r="I24" s="3" t="s">
        <v>16</v>
      </c>
      <c r="K24" t="s">
        <v>183</v>
      </c>
      <c r="L24" t="s">
        <v>186</v>
      </c>
    </row>
    <row r="25" spans="1:12">
      <c r="A25" s="12" t="s">
        <v>85</v>
      </c>
      <c r="B25" s="13" t="s">
        <v>108</v>
      </c>
      <c r="C25" s="12" t="s">
        <v>17</v>
      </c>
      <c r="D25" s="16" t="s">
        <v>41</v>
      </c>
      <c r="E25" s="15" t="s">
        <v>37</v>
      </c>
      <c r="F25" s="16" t="s">
        <v>39</v>
      </c>
      <c r="G25" s="17"/>
      <c r="H25" s="6"/>
      <c r="I25" s="7"/>
    </row>
    <row r="26" spans="1:12">
      <c r="A26" s="18" t="s">
        <v>91</v>
      </c>
      <c r="B26" s="19" t="s">
        <v>93</v>
      </c>
      <c r="C26" s="23" t="s">
        <v>56</v>
      </c>
      <c r="D26" s="24" t="s">
        <v>64</v>
      </c>
      <c r="E26" s="18" t="s">
        <v>27</v>
      </c>
      <c r="F26" s="19">
        <v>10</v>
      </c>
      <c r="G26" s="20" t="s">
        <v>67</v>
      </c>
      <c r="H26" s="4" t="s">
        <v>16</v>
      </c>
      <c r="I26" s="5" t="s">
        <v>16</v>
      </c>
      <c r="K26" t="s">
        <v>173</v>
      </c>
      <c r="L26" t="s">
        <v>174</v>
      </c>
    </row>
    <row r="27" spans="1:12">
      <c r="A27" s="12" t="s">
        <v>90</v>
      </c>
      <c r="B27" s="13" t="s">
        <v>92</v>
      </c>
      <c r="C27" s="22" t="s">
        <v>54</v>
      </c>
      <c r="D27" s="21" t="s">
        <v>65</v>
      </c>
      <c r="E27" s="12" t="s">
        <v>60</v>
      </c>
      <c r="F27" s="13" t="s">
        <v>79</v>
      </c>
      <c r="H27" s="2"/>
      <c r="I27" s="3" t="s">
        <v>16</v>
      </c>
      <c r="K27" t="s">
        <v>173</v>
      </c>
      <c r="L27" t="s">
        <v>175</v>
      </c>
    </row>
    <row r="28" spans="1:12">
      <c r="A28" s="12" t="s">
        <v>90</v>
      </c>
      <c r="B28" s="13" t="s">
        <v>92</v>
      </c>
      <c r="C28" s="22" t="s">
        <v>55</v>
      </c>
      <c r="D28" s="21" t="s">
        <v>66</v>
      </c>
      <c r="E28" s="12" t="s">
        <v>60</v>
      </c>
      <c r="F28" s="13" t="s">
        <v>78</v>
      </c>
      <c r="H28" s="2"/>
      <c r="I28" s="3" t="s">
        <v>16</v>
      </c>
      <c r="K28" t="s">
        <v>173</v>
      </c>
      <c r="L28" t="s">
        <v>176</v>
      </c>
    </row>
    <row r="29" spans="1:12">
      <c r="A29" s="12" t="s">
        <v>90</v>
      </c>
      <c r="B29" s="13" t="s">
        <v>92</v>
      </c>
      <c r="C29" s="12" t="s">
        <v>17</v>
      </c>
      <c r="D29" s="16" t="s">
        <v>41</v>
      </c>
      <c r="E29" s="15" t="s">
        <v>37</v>
      </c>
      <c r="F29" s="16" t="s">
        <v>39</v>
      </c>
      <c r="G29" s="17"/>
      <c r="H29" s="6"/>
      <c r="I29" s="7"/>
    </row>
    <row r="30" spans="1:12">
      <c r="A30" s="18" t="s">
        <v>98</v>
      </c>
      <c r="B30" s="19" t="s">
        <v>101</v>
      </c>
      <c r="C30" s="18" t="str">
        <f>C14</f>
        <v>星座キー</v>
      </c>
      <c r="D30" s="19" t="str">
        <f t="shared" ref="D30:F30" si="1">D14</f>
        <v>constellation_key</v>
      </c>
      <c r="E30" s="18" t="str">
        <f t="shared" si="1"/>
        <v>varchar</v>
      </c>
      <c r="F30" s="19">
        <f t="shared" si="1"/>
        <v>32</v>
      </c>
      <c r="G30" s="20"/>
      <c r="H30" s="4" t="s">
        <v>16</v>
      </c>
      <c r="I30" s="5" t="s">
        <v>16</v>
      </c>
    </row>
    <row r="31" spans="1:12">
      <c r="A31" s="12" t="s">
        <v>98</v>
      </c>
      <c r="B31" s="13" t="s">
        <v>101</v>
      </c>
      <c r="C31" s="22" t="s">
        <v>99</v>
      </c>
      <c r="D31" s="21" t="s">
        <v>102</v>
      </c>
      <c r="E31" s="12" t="s">
        <v>83</v>
      </c>
      <c r="F31" s="13">
        <v>1</v>
      </c>
      <c r="G31" t="s">
        <v>104</v>
      </c>
      <c r="H31" s="2" t="s">
        <v>16</v>
      </c>
      <c r="I31" s="3" t="s">
        <v>16</v>
      </c>
    </row>
    <row r="32" spans="1:12">
      <c r="A32" s="15" t="s">
        <v>98</v>
      </c>
      <c r="B32" s="16" t="s">
        <v>101</v>
      </c>
      <c r="C32" s="15" t="s">
        <v>17</v>
      </c>
      <c r="D32" s="16" t="s">
        <v>42</v>
      </c>
      <c r="E32" s="15" t="s">
        <v>37</v>
      </c>
      <c r="F32" s="16" t="s">
        <v>40</v>
      </c>
      <c r="G32" s="17"/>
      <c r="H32" s="6"/>
      <c r="I32" s="7"/>
    </row>
    <row r="33" spans="1:12">
      <c r="A33" s="12" t="s">
        <v>95</v>
      </c>
      <c r="B33" s="13" t="s">
        <v>97</v>
      </c>
      <c r="C33" s="22" t="s">
        <v>29</v>
      </c>
      <c r="D33" s="21" t="s">
        <v>33</v>
      </c>
      <c r="E33" s="12" t="s">
        <v>27</v>
      </c>
      <c r="F33" s="13">
        <v>16</v>
      </c>
      <c r="H33" s="2" t="s">
        <v>16</v>
      </c>
      <c r="I33" s="3" t="s">
        <v>16</v>
      </c>
      <c r="K33" t="s">
        <v>172</v>
      </c>
      <c r="L33" t="s">
        <v>157</v>
      </c>
    </row>
    <row r="34" spans="1:12">
      <c r="A34" s="12" t="s">
        <v>94</v>
      </c>
      <c r="B34" s="13" t="s">
        <v>97</v>
      </c>
      <c r="C34" s="22" t="s">
        <v>57</v>
      </c>
      <c r="D34" s="21" t="s">
        <v>32</v>
      </c>
      <c r="E34" s="12" t="s">
        <v>27</v>
      </c>
      <c r="F34" s="13">
        <v>16</v>
      </c>
      <c r="G34" t="s">
        <v>62</v>
      </c>
      <c r="H34" s="2"/>
      <c r="I34" s="3" t="s">
        <v>16</v>
      </c>
      <c r="K34" t="s">
        <v>172</v>
      </c>
      <c r="L34" t="s">
        <v>177</v>
      </c>
    </row>
    <row r="35" spans="1:12">
      <c r="A35" s="12" t="s">
        <v>96</v>
      </c>
      <c r="B35" s="13" t="s">
        <v>97</v>
      </c>
      <c r="C35" s="22" t="s">
        <v>58</v>
      </c>
      <c r="D35" s="21" t="s">
        <v>76</v>
      </c>
      <c r="E35" s="12" t="s">
        <v>27</v>
      </c>
      <c r="F35" s="13">
        <v>16</v>
      </c>
      <c r="G35" t="s">
        <v>36</v>
      </c>
      <c r="H35" s="2"/>
      <c r="I35" s="3" t="s">
        <v>16</v>
      </c>
      <c r="K35" t="s">
        <v>172</v>
      </c>
      <c r="L35" t="s">
        <v>178</v>
      </c>
    </row>
    <row r="36" spans="1:12">
      <c r="A36" s="12" t="s">
        <v>96</v>
      </c>
      <c r="B36" s="13" t="s">
        <v>97</v>
      </c>
      <c r="C36" s="22" t="s">
        <v>59</v>
      </c>
      <c r="D36" s="21" t="s">
        <v>77</v>
      </c>
      <c r="E36" s="12" t="s">
        <v>27</v>
      </c>
      <c r="F36" s="13">
        <v>16</v>
      </c>
      <c r="G36" t="s">
        <v>63</v>
      </c>
      <c r="H36" s="2"/>
      <c r="I36" s="3" t="s">
        <v>16</v>
      </c>
      <c r="K36" t="s">
        <v>172</v>
      </c>
      <c r="L36" t="s">
        <v>179</v>
      </c>
    </row>
    <row r="37" spans="1:12">
      <c r="A37" s="12" t="s">
        <v>96</v>
      </c>
      <c r="B37" s="13" t="s">
        <v>97</v>
      </c>
      <c r="C37" s="22" t="s">
        <v>30</v>
      </c>
      <c r="D37" s="21" t="s">
        <v>34</v>
      </c>
      <c r="E37" s="12" t="s">
        <v>60</v>
      </c>
      <c r="F37" s="13" t="s">
        <v>61</v>
      </c>
      <c r="H37" s="2"/>
      <c r="I37" s="3" t="s">
        <v>16</v>
      </c>
      <c r="K37" t="s">
        <v>172</v>
      </c>
      <c r="L37" t="s">
        <v>180</v>
      </c>
    </row>
    <row r="38" spans="1:12">
      <c r="A38" s="12" t="s">
        <v>96</v>
      </c>
      <c r="B38" s="13" t="s">
        <v>97</v>
      </c>
      <c r="C38" s="22" t="s">
        <v>31</v>
      </c>
      <c r="D38" s="21" t="s">
        <v>35</v>
      </c>
      <c r="E38" s="12" t="s">
        <v>60</v>
      </c>
      <c r="F38" s="13" t="s">
        <v>61</v>
      </c>
      <c r="H38" s="2"/>
      <c r="I38" s="3" t="s">
        <v>16</v>
      </c>
      <c r="K38" t="s">
        <v>172</v>
      </c>
      <c r="L38" t="s">
        <v>181</v>
      </c>
    </row>
    <row r="39" spans="1:12">
      <c r="A39" s="15" t="s">
        <v>96</v>
      </c>
      <c r="B39" s="16" t="s">
        <v>97</v>
      </c>
      <c r="C39" s="15" t="s">
        <v>17</v>
      </c>
      <c r="D39" s="16" t="s">
        <v>41</v>
      </c>
      <c r="E39" s="15" t="s">
        <v>37</v>
      </c>
      <c r="F39" s="16" t="s">
        <v>39</v>
      </c>
      <c r="G39" s="17"/>
      <c r="H39" s="6"/>
      <c r="I39" s="7"/>
    </row>
    <row r="40" spans="1:12">
      <c r="A40" s="26" t="s">
        <v>100</v>
      </c>
      <c r="B40" s="27" t="s">
        <v>103</v>
      </c>
      <c r="C40" s="26" t="str">
        <f>C33</f>
        <v>市町村</v>
      </c>
      <c r="D40" s="27" t="str">
        <f>D33</f>
        <v>city</v>
      </c>
      <c r="E40" s="26" t="str">
        <f>E33</f>
        <v>varchar</v>
      </c>
      <c r="F40" s="27">
        <f>F33</f>
        <v>16</v>
      </c>
      <c r="G40" s="43"/>
      <c r="H40" s="28" t="s">
        <v>16</v>
      </c>
      <c r="I40" s="29" t="s">
        <v>16</v>
      </c>
    </row>
    <row r="41" spans="1:12">
      <c r="A41" s="30" t="s">
        <v>100</v>
      </c>
      <c r="B41" s="31" t="s">
        <v>103</v>
      </c>
      <c r="C41" s="44" t="s">
        <v>99</v>
      </c>
      <c r="D41" s="45" t="s">
        <v>102</v>
      </c>
      <c r="E41" s="30" t="s">
        <v>83</v>
      </c>
      <c r="F41" s="31">
        <v>1</v>
      </c>
      <c r="G41" s="46" t="s">
        <v>104</v>
      </c>
      <c r="H41" s="32" t="s">
        <v>16</v>
      </c>
      <c r="I41" s="33" t="s">
        <v>16</v>
      </c>
      <c r="K41" t="s">
        <v>172</v>
      </c>
      <c r="L41" t="s">
        <v>182</v>
      </c>
    </row>
    <row r="42" spans="1:12">
      <c r="A42" s="34" t="s">
        <v>100</v>
      </c>
      <c r="B42" s="35" t="s">
        <v>103</v>
      </c>
      <c r="C42" s="34" t="s">
        <v>17</v>
      </c>
      <c r="D42" s="35" t="s">
        <v>42</v>
      </c>
      <c r="E42" s="34" t="s">
        <v>37</v>
      </c>
      <c r="F42" s="35" t="s">
        <v>40</v>
      </c>
      <c r="G42" s="36"/>
      <c r="H42" s="37"/>
      <c r="I42" s="38"/>
    </row>
  </sheetData>
  <autoFilter ref="A1:I42" xr:uid="{00000000-0009-0000-0000-000001000000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76"/>
  <sheetViews>
    <sheetView topLeftCell="A25" workbookViewId="0">
      <selection activeCell="Q52" sqref="Q52"/>
    </sheetView>
  </sheetViews>
  <sheetFormatPr baseColWidth="10" defaultColWidth="9" defaultRowHeight="18"/>
  <cols>
    <col min="3" max="3" width="15.33203125" bestFit="1" customWidth="1"/>
    <col min="15" max="15" width="4.6640625" customWidth="1"/>
    <col min="16" max="16" width="2.6640625" bestFit="1" customWidth="1"/>
    <col min="17" max="17" width="23.5" customWidth="1"/>
    <col min="18" max="18" width="36.5" bestFit="1" customWidth="1"/>
  </cols>
  <sheetData>
    <row r="1" spans="2:19">
      <c r="B1" t="s">
        <v>106</v>
      </c>
      <c r="G1" t="str">
        <f>VLOOKUP(B1,テーブル仕様!A:B,2,FALSE)</f>
        <v>constellation_list</v>
      </c>
      <c r="O1" t="str">
        <f>"create table "&amp;G1&amp;" ("</f>
        <v>create table constellation_list (</v>
      </c>
    </row>
    <row r="2" spans="2:19">
      <c r="Q2" t="s">
        <v>144</v>
      </c>
      <c r="R2" t="s">
        <v>140</v>
      </c>
      <c r="S2" t="s">
        <v>134</v>
      </c>
    </row>
    <row r="3" spans="2:19">
      <c r="P3" t="s">
        <v>128</v>
      </c>
      <c r="Q3" t="s">
        <v>65</v>
      </c>
      <c r="R3" t="s">
        <v>148</v>
      </c>
      <c r="S3" t="s">
        <v>134</v>
      </c>
    </row>
    <row r="4" spans="2:19">
      <c r="P4" t="s">
        <v>129</v>
      </c>
      <c r="Q4" t="s">
        <v>66</v>
      </c>
      <c r="R4" t="s">
        <v>148</v>
      </c>
      <c r="S4" t="s">
        <v>134</v>
      </c>
    </row>
    <row r="5" spans="2:19">
      <c r="P5" t="s">
        <v>130</v>
      </c>
      <c r="Q5" t="s">
        <v>151</v>
      </c>
      <c r="R5" t="s">
        <v>37</v>
      </c>
    </row>
    <row r="6" spans="2:19">
      <c r="P6" t="s">
        <v>131</v>
      </c>
      <c r="Q6" s="40" t="s">
        <v>119</v>
      </c>
      <c r="R6" t="s">
        <v>149</v>
      </c>
      <c r="S6" t="s">
        <v>134</v>
      </c>
    </row>
    <row r="7" spans="2:19">
      <c r="P7" t="s">
        <v>132</v>
      </c>
      <c r="Q7" s="40" t="s">
        <v>125</v>
      </c>
      <c r="R7" t="s">
        <v>150</v>
      </c>
      <c r="S7" t="s">
        <v>135</v>
      </c>
    </row>
    <row r="8" spans="2:19">
      <c r="P8" t="s">
        <v>131</v>
      </c>
      <c r="Q8" s="40" t="s">
        <v>121</v>
      </c>
      <c r="R8" t="s">
        <v>150</v>
      </c>
      <c r="S8" t="s">
        <v>136</v>
      </c>
    </row>
    <row r="9" spans="2:19">
      <c r="P9" t="s">
        <v>131</v>
      </c>
      <c r="Q9" s="39" t="s">
        <v>137</v>
      </c>
    </row>
    <row r="10" spans="2:19">
      <c r="P10" t="s">
        <v>127</v>
      </c>
    </row>
    <row r="11" spans="2:19" s="42" customFormat="1"/>
    <row r="12" spans="2:19">
      <c r="B12" t="s">
        <v>105</v>
      </c>
      <c r="G12" t="str">
        <f>VLOOKUP(B12,テーブル仕様!A:B,2,FALSE)</f>
        <v>star_culture</v>
      </c>
      <c r="O12" t="str">
        <f>"create table "&amp;G12&amp;" ("</f>
        <v>create table star_culture (</v>
      </c>
    </row>
    <row r="13" spans="2:19">
      <c r="Q13" t="s">
        <v>152</v>
      </c>
      <c r="R13" t="s">
        <v>22</v>
      </c>
      <c r="S13" t="s">
        <v>134</v>
      </c>
    </row>
    <row r="14" spans="2:19">
      <c r="P14" t="s">
        <v>131</v>
      </c>
      <c r="Q14" t="s">
        <v>139</v>
      </c>
      <c r="R14" t="s">
        <v>140</v>
      </c>
      <c r="S14" t="s">
        <v>134</v>
      </c>
    </row>
    <row r="15" spans="2:19">
      <c r="P15" t="s">
        <v>131</v>
      </c>
      <c r="Q15" t="s">
        <v>141</v>
      </c>
      <c r="R15" t="s">
        <v>142</v>
      </c>
    </row>
    <row r="16" spans="2:19">
      <c r="P16" t="s">
        <v>131</v>
      </c>
      <c r="Q16" t="s">
        <v>143</v>
      </c>
      <c r="R16" t="s">
        <v>142</v>
      </c>
    </row>
    <row r="17" spans="2:19">
      <c r="P17" t="s">
        <v>131</v>
      </c>
      <c r="Q17" t="s">
        <v>144</v>
      </c>
      <c r="R17" t="s">
        <v>140</v>
      </c>
    </row>
    <row r="18" spans="2:19">
      <c r="P18" t="s">
        <v>131</v>
      </c>
      <c r="Q18" t="s">
        <v>145</v>
      </c>
      <c r="R18" t="s">
        <v>140</v>
      </c>
      <c r="S18" t="s">
        <v>134</v>
      </c>
    </row>
    <row r="19" spans="2:19">
      <c r="P19" t="s">
        <v>131</v>
      </c>
      <c r="Q19" t="s">
        <v>146</v>
      </c>
      <c r="R19" t="s">
        <v>142</v>
      </c>
    </row>
    <row r="20" spans="2:19">
      <c r="P20" t="s">
        <v>131</v>
      </c>
      <c r="Q20" t="s">
        <v>147</v>
      </c>
      <c r="R20" t="s">
        <v>142</v>
      </c>
    </row>
    <row r="21" spans="2:19">
      <c r="P21" t="s">
        <v>131</v>
      </c>
      <c r="Q21" t="s">
        <v>151</v>
      </c>
      <c r="R21" t="s">
        <v>37</v>
      </c>
    </row>
    <row r="22" spans="2:19">
      <c r="P22" t="s">
        <v>131</v>
      </c>
      <c r="Q22" s="40" t="s">
        <v>119</v>
      </c>
      <c r="R22" t="s">
        <v>149</v>
      </c>
      <c r="S22" t="s">
        <v>134</v>
      </c>
    </row>
    <row r="23" spans="2:19">
      <c r="P23" t="s">
        <v>132</v>
      </c>
      <c r="Q23" s="40" t="s">
        <v>125</v>
      </c>
      <c r="R23" t="s">
        <v>150</v>
      </c>
      <c r="S23" t="s">
        <v>135</v>
      </c>
    </row>
    <row r="24" spans="2:19">
      <c r="P24" t="s">
        <v>131</v>
      </c>
      <c r="Q24" s="40" t="s">
        <v>121</v>
      </c>
      <c r="R24" t="s">
        <v>150</v>
      </c>
      <c r="S24" t="s">
        <v>136</v>
      </c>
    </row>
    <row r="25" spans="2:19">
      <c r="P25" t="s">
        <v>131</v>
      </c>
      <c r="Q25" s="39" t="s">
        <v>138</v>
      </c>
    </row>
    <row r="26" spans="2:19">
      <c r="C26" t="s">
        <v>106</v>
      </c>
      <c r="D26" t="s">
        <v>116</v>
      </c>
      <c r="H26" t="str">
        <f>VLOOKUP(C26,テーブル仕様!A:B,2,FALSE)&amp;"."&amp;VLOOKUP(D26,テーブル仕様!C:D,2,FALSE)</f>
        <v>constellation_list.constellation_key</v>
      </c>
      <c r="P26" t="s">
        <v>131</v>
      </c>
      <c r="Q26" s="41" t="str">
        <f>"foreign key ("&amp;VLOOKUP(D26,テーブル仕様!C:D,2,FALSE)&amp;") references "&amp;VLOOKUP(C26,テーブル仕様!A:B,2,FALSE)&amp;" ("&amp;VLOOKUP(D26,テーブル仕様!C:D,2,FALSE)&amp;")"</f>
        <v>foreign key (constellation_key) references constellation_list (constellation_key)</v>
      </c>
    </row>
    <row r="27" spans="2:19">
      <c r="P27" t="s">
        <v>127</v>
      </c>
    </row>
    <row r="28" spans="2:19" s="42" customFormat="1"/>
    <row r="29" spans="2:19">
      <c r="B29" t="s">
        <v>107</v>
      </c>
      <c r="G29" t="str">
        <f>VLOOKUP(B29,テーブル仕様!A:B,2,FALSE)</f>
        <v>present_area_master</v>
      </c>
      <c r="O29" t="str">
        <f t="shared" ref="O29:O40" si="0">"create table "&amp;G29&amp;" ("</f>
        <v>create table present_area_master (</v>
      </c>
    </row>
    <row r="30" spans="2:19">
      <c r="Q30" t="s">
        <v>157</v>
      </c>
      <c r="R30" t="s">
        <v>154</v>
      </c>
      <c r="S30" t="s">
        <v>134</v>
      </c>
    </row>
    <row r="31" spans="2:19">
      <c r="P31" t="s">
        <v>131</v>
      </c>
      <c r="Q31" t="s">
        <v>32</v>
      </c>
      <c r="R31" t="s">
        <v>154</v>
      </c>
      <c r="S31" t="s">
        <v>134</v>
      </c>
    </row>
    <row r="32" spans="2:19">
      <c r="P32" t="s">
        <v>131</v>
      </c>
      <c r="Q32" t="s">
        <v>76</v>
      </c>
      <c r="R32" t="s">
        <v>154</v>
      </c>
      <c r="S32" t="s">
        <v>134</v>
      </c>
    </row>
    <row r="33" spans="2:19">
      <c r="P33" t="s">
        <v>131</v>
      </c>
      <c r="Q33" t="s">
        <v>77</v>
      </c>
      <c r="R33" t="s">
        <v>154</v>
      </c>
      <c r="S33" t="s">
        <v>134</v>
      </c>
    </row>
    <row r="34" spans="2:19">
      <c r="P34" t="s">
        <v>131</v>
      </c>
      <c r="Q34" t="s">
        <v>34</v>
      </c>
      <c r="R34" t="s">
        <v>156</v>
      </c>
      <c r="S34" t="s">
        <v>134</v>
      </c>
    </row>
    <row r="35" spans="2:19">
      <c r="P35" t="s">
        <v>131</v>
      </c>
      <c r="Q35" t="s">
        <v>35</v>
      </c>
      <c r="R35" t="s">
        <v>156</v>
      </c>
      <c r="S35" t="s">
        <v>134</v>
      </c>
    </row>
    <row r="36" spans="2:19">
      <c r="P36" t="s">
        <v>131</v>
      </c>
      <c r="Q36" t="s">
        <v>41</v>
      </c>
      <c r="R36" t="s">
        <v>37</v>
      </c>
    </row>
    <row r="37" spans="2:19">
      <c r="P37" t="s">
        <v>131</v>
      </c>
      <c r="Q37" s="39" t="s">
        <v>158</v>
      </c>
    </row>
    <row r="38" spans="2:19">
      <c r="P38" t="s">
        <v>127</v>
      </c>
    </row>
    <row r="39" spans="2:19" s="42" customFormat="1"/>
    <row r="40" spans="2:19">
      <c r="B40" t="s">
        <v>90</v>
      </c>
      <c r="G40" t="str">
        <f>VLOOKUP(B40,テーブル仕様!A:B,2,FALSE)</f>
        <v>star_master</v>
      </c>
      <c r="O40" t="str">
        <f t="shared" si="0"/>
        <v>create table star_master (</v>
      </c>
    </row>
    <row r="41" spans="2:19">
      <c r="Q41" t="s">
        <v>160</v>
      </c>
      <c r="R41" t="s">
        <v>171</v>
      </c>
      <c r="S41" t="s">
        <v>134</v>
      </c>
    </row>
    <row r="42" spans="2:19">
      <c r="P42" t="s">
        <v>131</v>
      </c>
      <c r="Q42" t="s">
        <v>65</v>
      </c>
      <c r="R42" t="s">
        <v>159</v>
      </c>
      <c r="S42" t="s">
        <v>134</v>
      </c>
    </row>
    <row r="43" spans="2:19">
      <c r="P43" t="s">
        <v>131</v>
      </c>
      <c r="Q43" t="s">
        <v>66</v>
      </c>
      <c r="R43" t="s">
        <v>159</v>
      </c>
      <c r="S43" t="s">
        <v>134</v>
      </c>
    </row>
    <row r="44" spans="2:19">
      <c r="P44" t="s">
        <v>131</v>
      </c>
      <c r="Q44" t="s">
        <v>41</v>
      </c>
      <c r="R44" t="s">
        <v>37</v>
      </c>
    </row>
    <row r="45" spans="2:19">
      <c r="P45" t="s">
        <v>131</v>
      </c>
      <c r="Q45" s="39" t="s">
        <v>161</v>
      </c>
    </row>
    <row r="46" spans="2:19">
      <c r="P46" t="s">
        <v>127</v>
      </c>
    </row>
    <row r="47" spans="2:19" s="42" customFormat="1"/>
    <row r="48" spans="2:19">
      <c r="B48" t="s">
        <v>85</v>
      </c>
      <c r="G48" t="str">
        <f>VLOOKUP(B48,テーブル仕様!A:B,2,FALSE)</f>
        <v>constellation_line_list</v>
      </c>
      <c r="O48" t="str">
        <f>"create table "&amp;G48&amp;" ("</f>
        <v>create table constellation_line_list (</v>
      </c>
    </row>
    <row r="49" spans="2:19">
      <c r="Q49" t="s">
        <v>144</v>
      </c>
      <c r="R49" t="s">
        <v>140</v>
      </c>
      <c r="S49" t="s">
        <v>134</v>
      </c>
    </row>
    <row r="50" spans="2:19">
      <c r="P50" t="s">
        <v>131</v>
      </c>
      <c r="Q50" t="s">
        <v>162</v>
      </c>
      <c r="R50" t="s">
        <v>155</v>
      </c>
      <c r="S50" t="s">
        <v>134</v>
      </c>
    </row>
    <row r="51" spans="2:19">
      <c r="P51" t="s">
        <v>131</v>
      </c>
      <c r="Q51" t="s">
        <v>163</v>
      </c>
      <c r="R51" t="s">
        <v>155</v>
      </c>
      <c r="S51" t="s">
        <v>134</v>
      </c>
    </row>
    <row r="52" spans="2:19">
      <c r="P52" t="s">
        <v>131</v>
      </c>
      <c r="Q52" t="s">
        <v>64</v>
      </c>
      <c r="R52" t="s">
        <v>171</v>
      </c>
      <c r="S52" t="s">
        <v>134</v>
      </c>
    </row>
    <row r="53" spans="2:19">
      <c r="P53" t="s">
        <v>131</v>
      </c>
      <c r="Q53" t="s">
        <v>41</v>
      </c>
      <c r="R53" t="s">
        <v>37</v>
      </c>
    </row>
    <row r="54" spans="2:19">
      <c r="P54" t="s">
        <v>131</v>
      </c>
      <c r="Q54" s="39" t="s">
        <v>164</v>
      </c>
    </row>
    <row r="55" spans="2:19">
      <c r="C55" t="s">
        <v>106</v>
      </c>
      <c r="D55" t="s">
        <v>116</v>
      </c>
      <c r="H55" t="str">
        <f>VLOOKUP(C55,テーブル仕様!A:B,2,FALSE)&amp;"."&amp;VLOOKUP(D55,テーブル仕様!C:D,2,FALSE)</f>
        <v>constellation_list.constellation_key</v>
      </c>
      <c r="P55" t="s">
        <v>131</v>
      </c>
      <c r="Q55" s="41" t="str">
        <f>"foreign key ("&amp;VLOOKUP(D55,テーブル仕様!C:D,2,FALSE)&amp;") references "&amp;VLOOKUP(C55,テーブル仕様!A:B,2,FALSE)&amp;" ("&amp;VLOOKUP(D55,テーブル仕様!C:D,2,FALSE)&amp;")"</f>
        <v>foreign key (constellation_key) references constellation_list (constellation_key)</v>
      </c>
    </row>
    <row r="56" spans="2:19">
      <c r="C56" t="s">
        <v>167</v>
      </c>
      <c r="D56" t="s">
        <v>56</v>
      </c>
      <c r="H56" t="str">
        <f>VLOOKUP(C56,テーブル仕様!A:B,2,FALSE)&amp;"."&amp;VLOOKUP(D56,テーブル仕様!C:D,2,FALSE)</f>
        <v>star_master.hipparcos</v>
      </c>
      <c r="P56" t="s">
        <v>131</v>
      </c>
      <c r="Q56" s="41" t="str">
        <f>"foreign key ("&amp;VLOOKUP(D56,テーブル仕様!C:D,2,FALSE)&amp;") references "&amp;VLOOKUP(C56,テーブル仕様!A:B,2,FALSE)&amp;" ("&amp;VLOOKUP(D56,テーブル仕様!C:D,2,FALSE)&amp;")"</f>
        <v>foreign key (hipparcos) references star_master (hipparcos)</v>
      </c>
    </row>
    <row r="57" spans="2:19">
      <c r="P57" t="s">
        <v>127</v>
      </c>
    </row>
    <row r="58" spans="2:19" s="42" customFormat="1"/>
    <row r="59" spans="2:19">
      <c r="B59" t="s">
        <v>100</v>
      </c>
      <c r="G59" t="str">
        <f>VLOOKUP(B59,テーブル仕様!A:B,2,FALSE)</f>
        <v>s_area_list_p</v>
      </c>
      <c r="O59" t="str">
        <f>"create table "&amp;G59&amp;" ("</f>
        <v>create table s_area_list_p (</v>
      </c>
    </row>
    <row r="60" spans="2:19">
      <c r="Q60" t="s">
        <v>33</v>
      </c>
      <c r="R60" t="s">
        <v>154</v>
      </c>
      <c r="S60" t="s">
        <v>134</v>
      </c>
    </row>
    <row r="61" spans="2:19">
      <c r="P61" t="s">
        <v>131</v>
      </c>
      <c r="Q61" t="s">
        <v>102</v>
      </c>
      <c r="R61" t="s">
        <v>153</v>
      </c>
      <c r="S61" t="s">
        <v>134</v>
      </c>
    </row>
    <row r="62" spans="2:19">
      <c r="P62" t="s">
        <v>131</v>
      </c>
      <c r="Q62" t="s">
        <v>41</v>
      </c>
      <c r="R62" t="s">
        <v>37</v>
      </c>
    </row>
    <row r="63" spans="2:19">
      <c r="P63" t="s">
        <v>131</v>
      </c>
      <c r="Q63" s="39" t="s">
        <v>166</v>
      </c>
    </row>
    <row r="64" spans="2:19">
      <c r="C64" t="s">
        <v>107</v>
      </c>
      <c r="D64" t="s">
        <v>117</v>
      </c>
      <c r="H64" t="str">
        <f>VLOOKUP(C64,テーブル仕様!A:B,2,FALSE)&amp;"."&amp;VLOOKUP(D64,テーブル仕様!C:D,2,FALSE)</f>
        <v>present_area_master.city</v>
      </c>
      <c r="P64" t="s">
        <v>131</v>
      </c>
      <c r="Q64" s="41" t="str">
        <f>"foreign key ("&amp;VLOOKUP(D64,テーブル仕様!C:D,2,FALSE)&amp;") references "&amp;VLOOKUP(C64,テーブル仕様!A:B,2,FALSE)&amp;" ("&amp;VLOOKUP(D64,テーブル仕様!C:D,2,FALSE)&amp;")"</f>
        <v>foreign key (city) references present_area_master (city)</v>
      </c>
    </row>
    <row r="65" spans="2:19">
      <c r="P65" t="s">
        <v>131</v>
      </c>
      <c r="Q65" s="47" t="s">
        <v>168</v>
      </c>
    </row>
    <row r="66" spans="2:19">
      <c r="P66" t="s">
        <v>133</v>
      </c>
    </row>
    <row r="67" spans="2:19" s="42" customFormat="1"/>
    <row r="68" spans="2:19">
      <c r="B68" t="s">
        <v>98</v>
      </c>
      <c r="G68" t="str">
        <f>VLOOKUP(B68,テーブル仕様!A:B,2,FALSE)</f>
        <v>s_area_list_c</v>
      </c>
      <c r="O68" t="str">
        <f>"create table "&amp;G68&amp;" ("</f>
        <v>create table s_area_list_c (</v>
      </c>
    </row>
    <row r="69" spans="2:19">
      <c r="Q69" t="s">
        <v>144</v>
      </c>
      <c r="R69" t="s">
        <v>140</v>
      </c>
      <c r="S69" t="s">
        <v>134</v>
      </c>
    </row>
    <row r="70" spans="2:19">
      <c r="P70" t="s">
        <v>131</v>
      </c>
      <c r="Q70" t="s">
        <v>102</v>
      </c>
      <c r="R70" t="s">
        <v>153</v>
      </c>
      <c r="S70" t="s">
        <v>134</v>
      </c>
    </row>
    <row r="71" spans="2:19">
      <c r="P71" t="s">
        <v>131</v>
      </c>
      <c r="Q71" t="s">
        <v>41</v>
      </c>
      <c r="R71" t="s">
        <v>37</v>
      </c>
    </row>
    <row r="72" spans="2:19">
      <c r="P72" t="s">
        <v>131</v>
      </c>
      <c r="Q72" s="39" t="s">
        <v>165</v>
      </c>
    </row>
    <row r="73" spans="2:19">
      <c r="C73" t="s">
        <v>106</v>
      </c>
      <c r="D73" t="s">
        <v>116</v>
      </c>
      <c r="H73" t="str">
        <f>VLOOKUP(C73,テーブル仕様!A:B,2,FALSE)&amp;"."&amp;VLOOKUP(D73,テーブル仕様!C:D,2,FALSE)</f>
        <v>constellation_list.constellation_key</v>
      </c>
      <c r="P73" t="s">
        <v>131</v>
      </c>
      <c r="Q73" s="41" t="str">
        <f>"foreign key ("&amp;VLOOKUP(D73,テーブル仕様!C:D,2,FALSE)&amp;") references "&amp;VLOOKUP(C73,テーブル仕様!A:B,2,FALSE)&amp;" ("&amp;VLOOKUP(D73,テーブル仕様!C:D,2,FALSE)&amp;")"</f>
        <v>foreign key (constellation_key) references constellation_list (constellation_key)</v>
      </c>
    </row>
    <row r="74" spans="2:19">
      <c r="P74" t="s">
        <v>131</v>
      </c>
      <c r="Q74" s="47" t="s">
        <v>169</v>
      </c>
    </row>
    <row r="75" spans="2:19">
      <c r="P75" t="s">
        <v>133</v>
      </c>
    </row>
    <row r="76" spans="2:19" s="42" customFormat="1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テーブル仕様</vt:lpstr>
      <vt:lpstr>ddl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2026-04-30T15:13:51Z</dcterms:modified>
</cp:coreProperties>
</file>